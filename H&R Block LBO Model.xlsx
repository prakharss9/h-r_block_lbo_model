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LBO Model" sheetId="3" state="visible" r:id="rId5"/>
    <sheet name="Sensitivities" sheetId="4" state="visible" r:id="rId6"/>
    <sheet name="Source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<sst xmlns="http://schemas.openxmlformats.org/spreadsheetml/2006/main" count="201" uniqueCount="153">
  <si>
    <t xml:space="preserve">H&amp;R Block (NYSE: HRB) - Leveraged Buyout Analysis</t>
  </si>
  <si>
    <t xml:space="preserve">Take-private LBO, 5-year hold, exit end of FY2031. $ in millions. Live links to the model (Scenario switch on Assumptions!B3).</t>
  </si>
  <si>
    <t xml:space="preserve">Entry EV / EBITDA</t>
  </si>
  <si>
    <t xml:space="preserve">Implied offer price / premium</t>
  </si>
  <si>
    <t xml:space="preserve">Premium to $44.05</t>
  </si>
  <si>
    <t xml:space="preserve">Enterprise value</t>
  </si>
  <si>
    <t xml:space="preserve">Total debt / EBITDA at close</t>
  </si>
  <si>
    <t xml:space="preserve">Debt financing % of total cap</t>
  </si>
  <si>
    <t xml:space="preserve">Sponsor equity</t>
  </si>
  <si>
    <t xml:space="preserve">Exit multiple</t>
  </si>
  <si>
    <t xml:space="preserve">MOIC</t>
  </si>
  <si>
    <t xml:space="preserve">IRR</t>
  </si>
  <si>
    <t xml:space="preserve">Debt / EBITDA at exit</t>
  </si>
  <si>
    <t xml:space="preserve">Recommendation</t>
  </si>
  <si>
    <t xml:space="preserve">PASS at 8.0x (38% premium): base-case IRR of 17.5% is below a typical 20% sponsor hurdle, and the downside case (growth stalls, margin compresses, exit 6.5x) returns only about 1.0x. PROCEED at or below 7.5x EV/EBITDA (about a 29% premium), where base IRR is about 21% at an 8.0x exit. Debt capacity is adequate: EBITDA / interest stays above 2.2x even in the downside, and leverage falls from 5.0x to 1.9x by FY2031 in the base case. Key risks: seasonal tax-prep business, DIY competition, and sensitivity to the exit multiple.</t>
  </si>
  <si>
    <t xml:space="preserve">H&amp;R Block (HRB) - LBO Assumptions ($ in millions, except per share)</t>
  </si>
  <si>
    <t xml:space="preserve">Blue = input. Scenario 1 = Base, 2 = Downside. Market data as of Oct 9, 2026 close; FY ends June 30.</t>
  </si>
  <si>
    <t xml:space="preserve">Scenario (1=Base, 2=Downside)</t>
  </si>
  <si>
    <t xml:space="preserve">TRANSACTION</t>
  </si>
  <si>
    <t xml:space="preserve">LTM Adj. EBITDA (FY2026)</t>
  </si>
  <si>
    <t xml:space="preserve">Existing debt (refinanced)</t>
  </si>
  <si>
    <t xml:space="preserve">Existing cash</t>
  </si>
  <si>
    <t xml:space="preserve">Current share price ($)</t>
  </si>
  <si>
    <t xml:space="preserve">Shares outstanding (mm) = mkt cap / price</t>
  </si>
  <si>
    <t xml:space="preserve">Minimum cash retained</t>
  </si>
  <si>
    <t xml:space="preserve">FINANCING</t>
  </si>
  <si>
    <t xml:space="preserve">Total leverage (x EBITDA)</t>
  </si>
  <si>
    <t xml:space="preserve">Term Loan B (x EBITDA)</t>
  </si>
  <si>
    <t xml:space="preserve">Senior Notes (x EBITDA)</t>
  </si>
  <si>
    <t xml:space="preserve">Term Loan B rate</t>
  </si>
  <si>
    <t xml:space="preserve">Senior Notes rate</t>
  </si>
  <si>
    <t xml:space="preserve">TLB mandatory amortization (% of original)</t>
  </si>
  <si>
    <t xml:space="preserve">Cash sweep (% of excess FCF)</t>
  </si>
  <si>
    <t xml:space="preserve">Transaction fees (% of EV)</t>
  </si>
  <si>
    <t xml:space="preserve">Financing fees (% of new debt)</t>
  </si>
  <si>
    <t xml:space="preserve">Financing fee amortization (years)</t>
  </si>
  <si>
    <t xml:space="preserve">Tax rate</t>
  </si>
  <si>
    <t xml:space="preserve">OPERATING / EXIT</t>
  </si>
  <si>
    <t xml:space="preserve">D&amp;A (% revenue)</t>
  </si>
  <si>
    <t xml:space="preserve">Capex (% revenue)</t>
  </si>
  <si>
    <t xml:space="preserve">Change in NWC (% of change in revenue)</t>
  </si>
  <si>
    <t xml:space="preserve">Exit EV / EBITDA - Base</t>
  </si>
  <si>
    <t xml:space="preserve">Exit EV / EBITDA - Downside</t>
  </si>
  <si>
    <t xml:space="preserve">Exit multiple used</t>
  </si>
  <si>
    <t xml:space="preserve">FY2026 revenue</t>
  </si>
  <si>
    <t xml:space="preserve">Operating cases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</si>
  <si>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</si>
  <si>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</si>
  <si>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</si>
  <si>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</si>
  <si>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</si>
  <si>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 - Base</t>
  </si>
  <si>
    <t xml:space="preserve">EBITDA margin - Base</t>
  </si>
  <si>
    <t xml:space="preserve">Revenue growth - Downside</t>
  </si>
  <si>
    <t xml:space="preserve">EBITDA margin - Downside</t>
  </si>
  <si>
    <t xml:space="preserve">Notes: Base growth (4.5%) is just above HRB's FY23-FY26 revenue CAGR of 4.3%; base margin holds the FY26 level (26.1%). Rates, leverage and fees are my assumptions, not quotes. Interest is computed on beginning-of-year balances (no circularity).</t>
  </si>
  <si>
    <t xml:space="preserve">H&amp;R Block - LBO Model ($ in millions)</t>
  </si>
  <si>
    <t xml:space="preserve">Sources &amp; Uses</t>
  </si>
  <si>
    <t xml:space="preserve">Uses</t>
  </si>
  <si>
    <t xml:space="preserve">Term Loan B</t>
  </si>
  <si>
    <t xml:space="preserve">Purchase of equity</t>
  </si>
  <si>
    <t xml:space="preserve">Senior Notes</t>
  </si>
  <si>
    <t xml:space="preserve">Refinance existing debt</t>
  </si>
  <si>
    <t xml:space="preserve">Balance sheet cash used</t>
  </si>
  <si>
    <t xml:space="preserve">Transaction fees</t>
  </si>
  <si>
    <t xml:space="preserve">Sponsor equity (plug)</t>
  </si>
  <si>
    <t xml:space="preserve">Financing fees</t>
  </si>
  <si>
    <t xml:space="preserve">Total sources</t>
  </si>
  <si>
    <t xml:space="preserve">Total uses</t>
  </si>
  <si>
    <t xml:space="preserve">Entry valuation</t>
  </si>
  <si>
    <t xml:space="preserve">Check: sources - uses</t>
  </si>
  <si>
    <t xml:space="preserve">LTM EBITDA</t>
  </si>
  <si>
    <t xml:space="preserve">Entry multiple</t>
  </si>
  <si>
    <t xml:space="preserve">Implied offer price / share ($)</t>
  </si>
  <si>
    <t xml:space="preserve">Premium to current price</t>
  </si>
  <si>
    <t xml:space="preserve">Sponsor equity % of total capitalization</t>
  </si>
  <si>
    <t xml:space="preserve">Income statement</t>
  </si>
  <si>
    <t xml:space="preserve">FY2026A</t>
  </si>
  <si>
    <t xml:space="preserve">Revenue</t>
  </si>
  <si>
    <t xml:space="preserve">  growth %</t>
  </si>
  <si>
    <t xml:space="preserve">EBITDA</t>
  </si>
  <si>
    <t xml:space="preserve">  margin %</t>
  </si>
  <si>
    <t xml:space="preserve">D&amp;A</t>
  </si>
  <si>
    <t xml:space="preserve">EBIT</t>
  </si>
  <si>
    <t xml:space="preserve">Interest - Term Loan B</t>
  </si>
  <si>
    <t xml:space="preserve">Interest - Senior Notes</t>
  </si>
  <si>
    <t xml:space="preserve">Financing fee amortization</t>
  </si>
  <si>
    <t xml:space="preserve">Pre-tax income</t>
  </si>
  <si>
    <t xml:space="preserve">Taxes</t>
  </si>
  <si>
    <t xml:space="preserve">Net income</t>
  </si>
  <si>
    <t xml:space="preserve">Cash flow &amp; debt paydown</t>
  </si>
  <si>
    <t xml:space="preserve">Less: cash interest</t>
  </si>
  <si>
    <t xml:space="preserve">Less: taxes</t>
  </si>
  <si>
    <t xml:space="preserve">Less: capex</t>
  </si>
  <si>
    <t xml:space="preserve">Less: increase in NWC</t>
  </si>
  <si>
    <t xml:space="preserve">Free cash flow before debt repayment</t>
  </si>
  <si>
    <t xml:space="preserve">Mandatory TLB amortization</t>
  </si>
  <si>
    <t xml:space="preserve">Optional TLB paydown (cash sweep)</t>
  </si>
  <si>
    <t xml:space="preserve">Net change in cash</t>
  </si>
  <si>
    <t xml:space="preserve">Debt schedule &amp; credit stats</t>
  </si>
  <si>
    <t xml:space="preserve">FY2026PF</t>
  </si>
  <si>
    <t xml:space="preserve">Term Loan B (ending)</t>
  </si>
  <si>
    <t xml:space="preserve">Senior Notes (ending, bullet)</t>
  </si>
  <si>
    <t xml:space="preserve">Total debt</t>
  </si>
  <si>
    <t xml:space="preserve">Cash (ending)</t>
  </si>
  <si>
    <t xml:space="preserve">Net debt</t>
  </si>
  <si>
    <t xml:space="preserve">Total debt / EBITDA</t>
  </si>
  <si>
    <t xml:space="preserve">EBITDA / cash interest</t>
  </si>
  <si>
    <t xml:space="preserve">Returns (exit at end of FY2031, year 5)</t>
  </si>
  <si>
    <t xml:space="preserve">Value</t>
  </si>
  <si>
    <t xml:space="preserve">Exit EBITDA (FY2031)</t>
  </si>
  <si>
    <t xml:space="preserve">Exit enterprise value</t>
  </si>
  <si>
    <t xml:space="preserve">Less: total debt at exit</t>
  </si>
  <si>
    <t xml:space="preserve">Plus: cash at exit</t>
  </si>
  <si>
    <t xml:space="preserve">Exit equity value</t>
  </si>
  <si>
    <t xml:space="preserve">Sponsor equity invested</t>
  </si>
  <si>
    <t xml:space="preserve">IRR (5-year, no interim distributions)</t>
  </si>
  <si>
    <t xml:space="preserve">Sensitivity analysis (Base case; values computed by a Python replica of the model, verified to match the live model at base inputs)</t>
  </si>
  <si>
    <t xml:space="preserve">IRR: entry multiple vs exit multiple (5.0x leverage)</t>
  </si>
  <si>
    <t xml:space="preserve">Entry \ Exit</t>
  </si>
  <si>
    <t xml:space="preserve">7.0x</t>
  </si>
  <si>
    <t xml:space="preserve">7.5x</t>
  </si>
  <si>
    <t xml:space="preserve">8.0x</t>
  </si>
  <si>
    <t xml:space="preserve">8.5x</t>
  </si>
  <si>
    <t xml:space="preserve">9.0x</t>
  </si>
  <si>
    <t xml:space="preserve">MOIC: entry multiple vs exit multiple (5.0x leverage)</t>
  </si>
  <si>
    <t xml:space="preserve">IRR: leverage vs entry multiple (8.0x exit)</t>
  </si>
  <si>
    <t xml:space="preserve">Leverage \ Entry</t>
  </si>
  <si>
    <t xml:space="preserve">4.0x</t>
  </si>
  <si>
    <t xml:space="preserve">4.5x</t>
  </si>
  <si>
    <t xml:space="preserve">5.0x</t>
  </si>
  <si>
    <t xml:space="preserve">5.5x</t>
  </si>
  <si>
    <t xml:space="preserve">6.0x</t>
  </si>
  <si>
    <t xml:space="preserve">Scenario comparison</t>
  </si>
  <si>
    <t xml:space="preserve">Metric</t>
  </si>
  <si>
    <t xml:space="preserve">Base</t>
  </si>
  <si>
    <t xml:space="preserve">Downside</t>
  </si>
  <si>
    <t xml:space="preserve">Exit EBITDA (FY2031, $mm)</t>
  </si>
  <si>
    <t xml:space="preserve">Total debt / EBITDA at exit</t>
  </si>
  <si>
    <t xml:space="preserve">Minimum EBITDA / interest</t>
  </si>
  <si>
    <t xml:space="preserve">Downside: revenue growth 0-2%, EBITDA margin falls from 26.1% to 23.5-24.5%, exit multiple 6.5x (vs 8.0x base).</t>
  </si>
  <si>
    <t xml:space="preserve">HRB historicals ($mm)</t>
  </si>
  <si>
    <t xml:space="preserve">FY2023</t>
  </si>
  <si>
    <t xml:space="preserve">FY2024</t>
  </si>
  <si>
    <t xml:space="preserve">FY2025</t>
  </si>
  <si>
    <t xml:space="preserve">FY2026</t>
  </si>
  <si>
    <t xml:space="preserve">Adj. EBITDA</t>
  </si>
  <si>
    <t xml:space="preserve">Adj. EBITDA margin</t>
  </si>
  <si>
    <t xml:space="preserve">Operating profit (EBIT)</t>
  </si>
  <si>
    <t xml:space="preserve">Operating cash flow</t>
  </si>
  <si>
    <t xml:space="preserve">Capex</t>
  </si>
  <si>
    <t xml:space="preserve">Market data (Oct 9, 2026): price $44.05; market cap $5,583.8mm; FY2026 total debt $1,491.5mm; cash $958.7mm; 52-week range $28.16 - $58.67.</t>
  </si>
  <si>
    <t xml:space="preserve">Source: Perplexity finance data (company financials, adjusted metrics, quotes). Illustrative academic exercise, not investment advice.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</si>
</sst>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\x"/>
    <numFmt numFmtId="166" formatCode="\$0.00"/>
    <numFmt numFmtId="167" formatCode="0.0%"/>
    <numFmt numFmtId="168" formatCode="#,##0"/>
    <numFmt numFmtId="169" formatCode="0.00\x"/>
    <numFmt numFmtId="170" formatCode="0"/>
    <numFmt numFmtId="171" formatCode="#,##0.0"/>
    <numFmt numFmtId="172" formatCode="0.00"/>
    <numFmt numFmtId="173" formatCode="0%"/>
    <numFmt numFmtId="174" formatCode="#,##0.0;\(#,##0.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2" t="n">
        <f aca="false">'LBO Model'!B12</f>
        <v>8</v>
      </c>
    </row>
    <row r="5" customFormat="false" ht="15" hidden="false" customHeight="false" outlineLevel="0" collapsed="false">
      <c r="A5" s="0" t="s">
        <v>3</v>
      </c>
      <c r="B5" s="3" t="n">
        <f aca="false">'LBO Model'!B14</f>
        <v>60.8094699662581</v>
      </c>
    </row>
    <row r="6" customFormat="false" ht="15" hidden="false" customHeight="false" outlineLevel="0" collapsed="false">
      <c r="A6" s="0" t="s">
        <v>4</v>
      </c>
      <c r="B6" s="4" t="n">
        <f aca="false">'LBO Model'!B15</f>
        <v>0.380464698439458</v>
      </c>
    </row>
    <row r="7" customFormat="false" ht="15" hidden="false" customHeight="false" outlineLevel="0" collapsed="false">
      <c r="A7" s="0" t="s">
        <v>5</v>
      </c>
      <c r="B7" s="5" t="n">
        <f aca="false">'LBO Model'!B13</f>
        <v>8241.008</v>
      </c>
    </row>
    <row r="8" customFormat="false" ht="15" hidden="false" customHeight="false" outlineLevel="0" collapsed="false">
      <c r="A8" s="0" t="s">
        <v>6</v>
      </c>
      <c r="B8" s="2" t="n">
        <f aca="false">Assumptions!B15</f>
        <v>5</v>
      </c>
    </row>
    <row r="9" customFormat="false" ht="15" hidden="false" customHeight="false" outlineLevel="0" collapsed="false">
      <c r="A9" s="0" t="s">
        <v>7</v>
      </c>
      <c r="B9" s="4" t="n">
        <f aca="false">1-'LBO Model'!B16</f>
        <v>0.585738908644444</v>
      </c>
    </row>
    <row r="10" customFormat="false" ht="15" hidden="false" customHeight="false" outlineLevel="0" collapsed="false">
      <c r="A10" s="0" t="s">
        <v>8</v>
      </c>
      <c r="B10" s="5" t="n">
        <f aca="false">'LBO Model'!B7</f>
        <v>3642.75887</v>
      </c>
    </row>
    <row r="11" customFormat="false" ht="15" hidden="false" customHeight="false" outlineLevel="0" collapsed="false">
      <c r="A11" s="0" t="s">
        <v>9</v>
      </c>
      <c r="B11" s="2" t="n">
        <f aca="false">Assumptions!B33</f>
        <v>8</v>
      </c>
    </row>
    <row r="12" customFormat="false" ht="15" hidden="false" customHeight="false" outlineLevel="0" collapsed="false">
      <c r="A12" s="0" t="s">
        <v>10</v>
      </c>
      <c r="B12" s="6" t="n">
        <f aca="false">'LBO Model'!B65</f>
        <v>2.24212096978553</v>
      </c>
    </row>
    <row r="13" customFormat="false" ht="15" hidden="false" customHeight="false" outlineLevel="0" collapsed="false">
      <c r="A13" s="0" t="s">
        <v>11</v>
      </c>
      <c r="B13" s="4" t="n">
        <f aca="false">'LBO Model'!B66</f>
        <v>0.175254189721358</v>
      </c>
    </row>
    <row r="14" customFormat="false" ht="15" hidden="false" customHeight="false" outlineLevel="0" collapsed="false">
      <c r="A14" s="0" t="s">
        <v>12</v>
      </c>
      <c r="B14" s="2" t="n">
        <f aca="false">'LBO Model'!G54</f>
        <v>1.86908963991247</v>
      </c>
    </row>
    <row r="16" customFormat="false" ht="15" hidden="false" customHeight="false" outlineLevel="0" collapsed="false">
      <c r="A16" s="7" t="s">
        <v>13</v>
      </c>
    </row>
    <row r="17" customFormat="false" ht="15" hidden="false" customHeight="true" outlineLevel="0" collapsed="false">
      <c r="A17" s="8" t="s">
        <v>14</v>
      </c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</sheetData>
  <mergeCells count="1">
    <mergeCell ref="A17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0" t="s">
        <v>17</v>
      </c>
      <c r="B3" s="9" t="n">
        <v>1</v>
      </c>
    </row>
    <row r="5" customFormat="false" ht="15" hidden="false" customHeight="false" outlineLevel="0" collapsed="false">
      <c r="A5" s="10" t="s">
        <v>18</v>
      </c>
      <c r="B5" s="11"/>
    </row>
    <row r="6" customFormat="false" ht="15" hidden="false" customHeight="false" outlineLevel="0" collapsed="false">
      <c r="A6" s="0" t="s">
        <v>19</v>
      </c>
      <c r="B6" s="12" t="n">
        <v>1030.126</v>
      </c>
    </row>
    <row r="7" customFormat="false" ht="15" hidden="false" customHeight="false" outlineLevel="0" collapsed="false">
      <c r="A7" s="0" t="s">
        <v>2</v>
      </c>
      <c r="B7" s="13" t="n">
        <v>8</v>
      </c>
    </row>
    <row r="8" customFormat="false" ht="15" hidden="false" customHeight="false" outlineLevel="0" collapsed="false">
      <c r="A8" s="0" t="s">
        <v>20</v>
      </c>
      <c r="B8" s="12" t="n">
        <v>1491.493</v>
      </c>
    </row>
    <row r="9" customFormat="false" ht="15" hidden="false" customHeight="false" outlineLevel="0" collapsed="false">
      <c r="A9" s="0" t="s">
        <v>21</v>
      </c>
      <c r="B9" s="12" t="n">
        <v>958.706</v>
      </c>
    </row>
    <row r="10" customFormat="false" ht="15" hidden="false" customHeight="false" outlineLevel="0" collapsed="false">
      <c r="A10" s="0" t="s">
        <v>22</v>
      </c>
      <c r="B10" s="14" t="n">
        <v>44.05</v>
      </c>
    </row>
    <row r="11" customFormat="false" ht="15" hidden="false" customHeight="false" outlineLevel="0" collapsed="false">
      <c r="A11" s="0" t="s">
        <v>23</v>
      </c>
      <c r="B11" s="15" t="n">
        <f aca="false">5583.787118/B10</f>
        <v>126.760206992054</v>
      </c>
    </row>
    <row r="12" customFormat="false" ht="15" hidden="false" customHeight="false" outlineLevel="0" collapsed="false">
      <c r="A12" s="0" t="s">
        <v>24</v>
      </c>
      <c r="B12" s="12" t="n">
        <v>300</v>
      </c>
    </row>
    <row r="14" customFormat="false" ht="15" hidden="false" customHeight="false" outlineLevel="0" collapsed="false">
      <c r="A14" s="10" t="s">
        <v>25</v>
      </c>
      <c r="B14" s="11"/>
    </row>
    <row r="15" customFormat="false" ht="15" hidden="false" customHeight="false" outlineLevel="0" collapsed="false">
      <c r="A15" s="0" t="s">
        <v>26</v>
      </c>
      <c r="B15" s="13" t="n">
        <v>5</v>
      </c>
    </row>
    <row r="16" customFormat="false" ht="15" hidden="false" customHeight="false" outlineLevel="0" collapsed="false">
      <c r="A16" s="0" t="s">
        <v>27</v>
      </c>
      <c r="B16" s="13" t="n">
        <v>3</v>
      </c>
    </row>
    <row r="17" customFormat="false" ht="15" hidden="false" customHeight="false" outlineLevel="0" collapsed="false">
      <c r="A17" s="0" t="s">
        <v>28</v>
      </c>
      <c r="B17" s="16" t="n">
        <f aca="false">B15-MIN(B16,B15)</f>
        <v>2</v>
      </c>
    </row>
    <row r="18" customFormat="false" ht="15" hidden="false" customHeight="false" outlineLevel="0" collapsed="false">
      <c r="A18" s="0" t="s">
        <v>29</v>
      </c>
      <c r="B18" s="17" t="n">
        <v>0.08</v>
      </c>
    </row>
    <row r="19" customFormat="false" ht="15" hidden="false" customHeight="false" outlineLevel="0" collapsed="false">
      <c r="A19" s="0" t="s">
        <v>30</v>
      </c>
      <c r="B19" s="17" t="n">
        <v>0.095</v>
      </c>
    </row>
    <row r="20" customFormat="false" ht="15" hidden="false" customHeight="false" outlineLevel="0" collapsed="false">
      <c r="A20" s="0" t="s">
        <v>31</v>
      </c>
      <c r="B20" s="17" t="n">
        <v>0.01</v>
      </c>
    </row>
    <row r="21" customFormat="false" ht="15" hidden="false" customHeight="false" outlineLevel="0" collapsed="false">
      <c r="A21" s="0" t="s">
        <v>32</v>
      </c>
      <c r="B21" s="18" t="n">
        <v>1</v>
      </c>
    </row>
    <row r="22" customFormat="false" ht="15" hidden="false" customHeight="false" outlineLevel="0" collapsed="false">
      <c r="A22" s="0" t="s">
        <v>33</v>
      </c>
      <c r="B22" s="17" t="n">
        <v>0.015</v>
      </c>
    </row>
    <row r="23" customFormat="false" ht="15" hidden="false" customHeight="false" outlineLevel="0" collapsed="false">
      <c r="A23" s="0" t="s">
        <v>34</v>
      </c>
      <c r="B23" s="17" t="n">
        <v>0.025</v>
      </c>
    </row>
    <row r="24" customFormat="false" ht="15" hidden="false" customHeight="false" outlineLevel="0" collapsed="false">
      <c r="A24" s="0" t="s">
        <v>35</v>
      </c>
      <c r="B24" s="9" t="n">
        <v>7</v>
      </c>
    </row>
    <row r="25" customFormat="false" ht="15" hidden="false" customHeight="false" outlineLevel="0" collapsed="false">
      <c r="A25" s="0" t="s">
        <v>36</v>
      </c>
      <c r="B25" s="17" t="n">
        <v>0.24</v>
      </c>
    </row>
    <row r="27" customFormat="false" ht="15" hidden="false" customHeight="false" outlineLevel="0" collapsed="false">
      <c r="A27" s="10" t="s">
        <v>37</v>
      </c>
      <c r="B27" s="11"/>
    </row>
    <row r="28" customFormat="false" ht="15" hidden="false" customHeight="false" outlineLevel="0" collapsed="false">
      <c r="A28" s="0" t="s">
        <v>38</v>
      </c>
      <c r="B28" s="17" t="n">
        <v>0.031</v>
      </c>
    </row>
    <row r="29" customFormat="false" ht="15" hidden="false" customHeight="false" outlineLevel="0" collapsed="false">
      <c r="A29" s="0" t="s">
        <v>39</v>
      </c>
      <c r="B29" s="17" t="n">
        <v>0.021</v>
      </c>
    </row>
    <row r="30" customFormat="false" ht="15" hidden="false" customHeight="false" outlineLevel="0" collapsed="false">
      <c r="A30" s="0" t="s">
        <v>40</v>
      </c>
      <c r="B30" s="17" t="n">
        <v>0.05</v>
      </c>
    </row>
    <row r="31" customFormat="false" ht="15" hidden="false" customHeight="false" outlineLevel="0" collapsed="false">
      <c r="A31" s="0" t="s">
        <v>41</v>
      </c>
      <c r="B31" s="13" t="n">
        <v>8</v>
      </c>
    </row>
    <row r="32" customFormat="false" ht="15" hidden="false" customHeight="false" outlineLevel="0" collapsed="false">
      <c r="A32" s="0" t="s">
        <v>42</v>
      </c>
      <c r="B32" s="13" t="n">
        <v>6.5</v>
      </c>
    </row>
    <row r="33" customFormat="false" ht="15" hidden="false" customHeight="false" outlineLevel="0" collapsed="false">
      <c r="A33" s="0" t="s">
        <v>43</v>
      </c>
      <c r="B33" s="16" t="n">
        <f aca="false">CHOOSE(B3,B31,B32)</f>
        <v>8</v>
      </c>
    </row>
    <row r="34" customFormat="false" ht="15" hidden="false" customHeight="false" outlineLevel="0" collapsed="false">
      <c r="A34" s="0" t="s">
        <v>44</v>
      </c>
      <c r="B34" s="12" t="n">
        <v>3945.392</v>
      </c>
    </row>
    <row r="36" customFormat="false" ht="15" hidden="false" customHeight="false" outlineLevel="0" collapsed="false">
      <c r="A36" s="19" t="s">
        <v>45</v>
      </c>
      <c r="B36" s="20" t="s">
        <v>46</v>
      </c>
      <c r="C36" s="20" t="s">
        <v>47</v>
      </c>
      <c r="D36" s="20" t="s">
        <v>48</v>
      </c>
      <c r="E36" s="20" t="s">
        <v>49</v>
      </c>
      <c r="F36" s="20" t="s">
        <v>50</v>
      </c>
    </row>
    <row r="37" customFormat="false" ht="15" hidden="false" customHeight="false" outlineLevel="0" collapsed="false">
      <c r="A37" s="0" t="s">
        <v>51</v>
      </c>
      <c r="B37" s="17" t="n">
        <v>0.045</v>
      </c>
      <c r="C37" s="17" t="n">
        <v>0.045</v>
      </c>
      <c r="D37" s="17" t="n">
        <v>0.045</v>
      </c>
      <c r="E37" s="17" t="n">
        <v>0.045</v>
      </c>
      <c r="F37" s="17" t="n">
        <v>0.045</v>
      </c>
    </row>
    <row r="38" customFormat="false" ht="15" hidden="false" customHeight="false" outlineLevel="0" collapsed="false">
      <c r="A38" s="0" t="s">
        <v>52</v>
      </c>
      <c r="B38" s="17" t="n">
        <v>0.261</v>
      </c>
      <c r="C38" s="17" t="n">
        <v>0.261</v>
      </c>
      <c r="D38" s="17" t="n">
        <v>0.261</v>
      </c>
      <c r="E38" s="17" t="n">
        <v>0.261</v>
      </c>
      <c r="F38" s="17" t="n">
        <v>0.261</v>
      </c>
    </row>
    <row r="39" customFormat="false" ht="15" hidden="false" customHeight="false" outlineLevel="0" collapsed="false">
      <c r="A39" s="0" t="s">
        <v>53</v>
      </c>
      <c r="B39" s="17" t="n">
        <v>0.01</v>
      </c>
      <c r="C39" s="17" t="n">
        <v>0</v>
      </c>
      <c r="D39" s="17" t="n">
        <v>0</v>
      </c>
      <c r="E39" s="17" t="n">
        <v>0.02</v>
      </c>
      <c r="F39" s="17" t="n">
        <v>0.02</v>
      </c>
    </row>
    <row r="40" customFormat="false" ht="15" hidden="false" customHeight="false" outlineLevel="0" collapsed="false">
      <c r="A40" s="0" t="s">
        <v>54</v>
      </c>
      <c r="B40" s="17" t="n">
        <v>0.245</v>
      </c>
      <c r="C40" s="17" t="n">
        <v>0.235</v>
      </c>
      <c r="D40" s="17" t="n">
        <v>0.235</v>
      </c>
      <c r="E40" s="17" t="n">
        <v>0.24</v>
      </c>
      <c r="F40" s="17" t="n">
        <v>0.24</v>
      </c>
    </row>
    <row r="42" customFormat="false" ht="15" hidden="false" customHeight="true" outlineLevel="0" collapsed="false">
      <c r="A42" s="8" t="s">
        <v>55</v>
      </c>
      <c r="B42" s="8"/>
      <c r="C42" s="8"/>
      <c r="D42" s="8"/>
      <c r="E42" s="8"/>
      <c r="F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</row>
  </sheetData>
  <mergeCells count="1">
    <mergeCell ref="A42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24"/>
    <col collapsed="false" customWidth="true" hidden="false" outlineLevel="0" max="7" min="5" style="0" width="13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19" t="s">
        <v>57</v>
      </c>
      <c r="B3" s="20"/>
      <c r="C3" s="20"/>
      <c r="D3" s="20" t="s">
        <v>58</v>
      </c>
      <c r="E3" s="20"/>
    </row>
    <row r="4" customFormat="false" ht="15" hidden="false" customHeight="false" outlineLevel="0" collapsed="false">
      <c r="A4" s="0" t="s">
        <v>59</v>
      </c>
      <c r="B4" s="15" t="n">
        <f aca="false">Assumptions!B16*Assumptions!B6</f>
        <v>3090.378</v>
      </c>
      <c r="D4" s="0" t="s">
        <v>60</v>
      </c>
      <c r="E4" s="15" t="n">
        <f aca="false">B13-Assumptions!B8+Assumptions!B9</f>
        <v>7708.221</v>
      </c>
    </row>
    <row r="5" customFormat="false" ht="15" hidden="false" customHeight="false" outlineLevel="0" collapsed="false">
      <c r="A5" s="0" t="s">
        <v>61</v>
      </c>
      <c r="B5" s="15" t="n">
        <f aca="false">Assumptions!B17*Assumptions!B6</f>
        <v>2060.252</v>
      </c>
      <c r="D5" s="0" t="s">
        <v>62</v>
      </c>
      <c r="E5" s="15" t="n">
        <f aca="false">Assumptions!B8</f>
        <v>1491.493</v>
      </c>
    </row>
    <row r="6" customFormat="false" ht="15" hidden="false" customHeight="false" outlineLevel="0" collapsed="false">
      <c r="A6" s="0" t="s">
        <v>63</v>
      </c>
      <c r="B6" s="15" t="n">
        <f aca="false">Assumptions!B9-Assumptions!B12</f>
        <v>658.706</v>
      </c>
      <c r="D6" s="0" t="s">
        <v>64</v>
      </c>
      <c r="E6" s="15" t="n">
        <f aca="false">Assumptions!B22*B13</f>
        <v>123.61512</v>
      </c>
    </row>
    <row r="7" customFormat="false" ht="15" hidden="false" customHeight="false" outlineLevel="0" collapsed="false">
      <c r="A7" s="0" t="s">
        <v>65</v>
      </c>
      <c r="B7" s="15" t="n">
        <f aca="false">E8-B4-B5-B6</f>
        <v>3642.75887</v>
      </c>
      <c r="D7" s="0" t="s">
        <v>66</v>
      </c>
      <c r="E7" s="15" t="n">
        <f aca="false">Assumptions!B23*(B4+B5)</f>
        <v>128.76575</v>
      </c>
    </row>
    <row r="8" customFormat="false" ht="15" hidden="false" customHeight="false" outlineLevel="0" collapsed="false">
      <c r="A8" s="7" t="s">
        <v>67</v>
      </c>
      <c r="B8" s="21" t="n">
        <f aca="false">SUM(B4:B7)</f>
        <v>9452.09487</v>
      </c>
      <c r="D8" s="7" t="s">
        <v>68</v>
      </c>
      <c r="E8" s="21" t="n">
        <f aca="false">SUM(E4:E7)</f>
        <v>9452.09487</v>
      </c>
    </row>
    <row r="10" customFormat="false" ht="15" hidden="false" customHeight="false" outlineLevel="0" collapsed="false">
      <c r="A10" s="7" t="s">
        <v>69</v>
      </c>
      <c r="D10" s="0" t="s">
        <v>70</v>
      </c>
      <c r="E10" s="0" t="n">
        <f aca="false">ROUND(B8-E8,6)</f>
        <v>0</v>
      </c>
    </row>
    <row r="11" customFormat="false" ht="15" hidden="false" customHeight="false" outlineLevel="0" collapsed="false">
      <c r="A11" s="0" t="s">
        <v>71</v>
      </c>
      <c r="B11" s="15" t="n">
        <f aca="false">Assumptions!B6</f>
        <v>1030.126</v>
      </c>
    </row>
    <row r="12" customFormat="false" ht="15" hidden="false" customHeight="false" outlineLevel="0" collapsed="false">
      <c r="A12" s="0" t="s">
        <v>72</v>
      </c>
      <c r="B12" s="16" t="n">
        <f aca="false">Assumptions!B7</f>
        <v>8</v>
      </c>
    </row>
    <row r="13" customFormat="false" ht="15" hidden="false" customHeight="false" outlineLevel="0" collapsed="false">
      <c r="A13" s="0" t="s">
        <v>5</v>
      </c>
      <c r="B13" s="15" t="n">
        <f aca="false">B11*B12</f>
        <v>8241.008</v>
      </c>
    </row>
    <row r="14" customFormat="false" ht="15" hidden="false" customHeight="false" outlineLevel="0" collapsed="false">
      <c r="A14" s="0" t="s">
        <v>73</v>
      </c>
      <c r="B14" s="22" t="n">
        <f aca="false">E4/Assumptions!B11</f>
        <v>60.8094699662581</v>
      </c>
    </row>
    <row r="15" customFormat="false" ht="15" hidden="false" customHeight="false" outlineLevel="0" collapsed="false">
      <c r="A15" s="0" t="s">
        <v>74</v>
      </c>
      <c r="B15" s="23" t="n">
        <f aca="false">B14/Assumptions!B10-1</f>
        <v>0.380464698439458</v>
      </c>
    </row>
    <row r="16" customFormat="false" ht="15" hidden="false" customHeight="false" outlineLevel="0" collapsed="false">
      <c r="A16" s="0" t="s">
        <v>75</v>
      </c>
      <c r="B16" s="23" t="n">
        <f aca="false">B7/(B7+B4+B5)</f>
        <v>0.414261091355556</v>
      </c>
    </row>
    <row r="19" customFormat="false" ht="15" hidden="false" customHeight="false" outlineLevel="0" collapsed="false">
      <c r="A19" s="19" t="s">
        <v>76</v>
      </c>
      <c r="B19" s="20" t="s">
        <v>77</v>
      </c>
      <c r="C19" s="20" t="s">
        <v>46</v>
      </c>
      <c r="D19" s="20" t="s">
        <v>47</v>
      </c>
      <c r="E19" s="20" t="s">
        <v>48</v>
      </c>
      <c r="F19" s="20" t="s">
        <v>49</v>
      </c>
      <c r="G19" s="20" t="s">
        <v>50</v>
      </c>
    </row>
    <row r="20" customFormat="false" ht="15" hidden="false" customHeight="false" outlineLevel="0" collapsed="false">
      <c r="A20" s="0" t="s">
        <v>78</v>
      </c>
      <c r="B20" s="15" t="n">
        <f aca="false">Assumptions!B34</f>
        <v>3945.392</v>
      </c>
      <c r="C20" s="15" t="n">
        <f aca="false">B20*(1+C21)</f>
        <v>4122.93464</v>
      </c>
      <c r="D20" s="15" t="n">
        <f aca="false">C20*(1+D21)</f>
        <v>4308.4666988</v>
      </c>
      <c r="E20" s="15" t="n">
        <f aca="false">D20*(1+E21)</f>
        <v>4502.347700246</v>
      </c>
      <c r="F20" s="15" t="n">
        <f aca="false">E20*(1+F21)</f>
        <v>4704.95334675707</v>
      </c>
      <c r="G20" s="15" t="n">
        <f aca="false">F20*(1+G21)</f>
        <v>4916.67624736114</v>
      </c>
    </row>
    <row r="21" customFormat="false" ht="15" hidden="false" customHeight="false" outlineLevel="0" collapsed="false">
      <c r="A21" s="0" t="s">
        <v>79</v>
      </c>
      <c r="B21" s="23"/>
      <c r="C21" s="23" t="n">
        <f aca="false">CHOOSE(Assumptions!$B$3,Assumptions!B37,Assumptions!B39)</f>
        <v>0.045</v>
      </c>
      <c r="D21" s="23" t="n">
        <f aca="false">CHOOSE(Assumptions!$B$3,Assumptions!C37,Assumptions!C39)</f>
        <v>0.045</v>
      </c>
      <c r="E21" s="23" t="n">
        <f aca="false">CHOOSE(Assumptions!$B$3,Assumptions!D37,Assumptions!D39)</f>
        <v>0.045</v>
      </c>
      <c r="F21" s="23" t="n">
        <f aca="false">CHOOSE(Assumptions!$B$3,Assumptions!E37,Assumptions!E39)</f>
        <v>0.045</v>
      </c>
      <c r="G21" s="23" t="n">
        <f aca="false">CHOOSE(Assumptions!$B$3,Assumptions!F37,Assumptions!F39)</f>
        <v>0.045</v>
      </c>
    </row>
    <row r="22" customFormat="false" ht="15" hidden="false" customHeight="false" outlineLevel="0" collapsed="false">
      <c r="A22" s="0" t="s">
        <v>80</v>
      </c>
      <c r="B22" s="15" t="n">
        <f aca="false">Assumptions!B6</f>
        <v>1030.126</v>
      </c>
      <c r="C22" s="15" t="n">
        <f aca="false">C20*C23</f>
        <v>1076.08594104</v>
      </c>
      <c r="D22" s="15" t="n">
        <f aca="false">D20*D23</f>
        <v>1124.5098083868</v>
      </c>
      <c r="E22" s="15" t="n">
        <f aca="false">E20*E23</f>
        <v>1175.11274976421</v>
      </c>
      <c r="F22" s="15" t="n">
        <f aca="false">F20*F23</f>
        <v>1227.99282350359</v>
      </c>
      <c r="G22" s="15" t="n">
        <f aca="false">G20*G23</f>
        <v>1283.25250056126</v>
      </c>
    </row>
    <row r="23" customFormat="false" ht="15" hidden="false" customHeight="false" outlineLevel="0" collapsed="false">
      <c r="A23" s="0" t="s">
        <v>81</v>
      </c>
      <c r="B23" s="23" t="n">
        <f aca="false">B22/B20</f>
        <v>0.261095982351057</v>
      </c>
      <c r="C23" s="23" t="n">
        <f aca="false">CHOOSE(Assumptions!$B$3,Assumptions!B38,Assumptions!B40)</f>
        <v>0.261</v>
      </c>
      <c r="D23" s="23" t="n">
        <f aca="false">CHOOSE(Assumptions!$B$3,Assumptions!C38,Assumptions!C40)</f>
        <v>0.261</v>
      </c>
      <c r="E23" s="23" t="n">
        <f aca="false">CHOOSE(Assumptions!$B$3,Assumptions!D38,Assumptions!D40)</f>
        <v>0.261</v>
      </c>
      <c r="F23" s="23" t="n">
        <f aca="false">CHOOSE(Assumptions!$B$3,Assumptions!E38,Assumptions!E40)</f>
        <v>0.261</v>
      </c>
      <c r="G23" s="23" t="n">
        <f aca="false">CHOOSE(Assumptions!$B$3,Assumptions!F38,Assumptions!F40)</f>
        <v>0.261</v>
      </c>
    </row>
    <row r="24" customFormat="false" ht="15" hidden="false" customHeight="false" outlineLevel="0" collapsed="false">
      <c r="A24" s="0" t="s">
        <v>82</v>
      </c>
      <c r="B24" s="15"/>
      <c r="C24" s="15" t="n">
        <f aca="false">C20*Assumptions!$B$28</f>
        <v>127.81097384</v>
      </c>
      <c r="D24" s="15" t="n">
        <f aca="false">D20*Assumptions!$B$28</f>
        <v>133.5624676628</v>
      </c>
      <c r="E24" s="15" t="n">
        <f aca="false">E20*Assumptions!$B$28</f>
        <v>139.572778707626</v>
      </c>
      <c r="F24" s="15" t="n">
        <f aca="false">F20*Assumptions!$B$28</f>
        <v>145.853553749469</v>
      </c>
      <c r="G24" s="15" t="n">
        <f aca="false">G20*Assumptions!$B$28</f>
        <v>152.416963668195</v>
      </c>
    </row>
    <row r="25" customFormat="false" ht="15" hidden="false" customHeight="false" outlineLevel="0" collapsed="false">
      <c r="A25" s="0" t="s">
        <v>83</v>
      </c>
      <c r="B25" s="15"/>
      <c r="C25" s="15" t="n">
        <f aca="false">C22-C24</f>
        <v>948.2749672</v>
      </c>
      <c r="D25" s="15" t="n">
        <f aca="false">D22-D24</f>
        <v>990.947340724</v>
      </c>
      <c r="E25" s="15" t="n">
        <f aca="false">E22-E24</f>
        <v>1035.53997105658</v>
      </c>
      <c r="F25" s="15" t="n">
        <f aca="false">F22-F24</f>
        <v>1082.13926975413</v>
      </c>
      <c r="G25" s="15" t="n">
        <f aca="false">G22-G24</f>
        <v>1130.83553689306</v>
      </c>
    </row>
    <row r="26" customFormat="false" ht="15" hidden="false" customHeight="false" outlineLevel="0" collapsed="false">
      <c r="A26" s="0" t="s">
        <v>84</v>
      </c>
      <c r="B26" s="15"/>
      <c r="C26" s="15" t="n">
        <f aca="false">B46*Assumptions!$B$18</f>
        <v>247.23024</v>
      </c>
      <c r="D26" s="15" t="n">
        <f aca="false">C46*Assumptions!$B$18</f>
        <v>213.565372929097</v>
      </c>
      <c r="E26" s="15" t="n">
        <f aca="false">D46*Assumptions!$B$18</f>
        <v>175.142733658184</v>
      </c>
      <c r="F26" s="15" t="n">
        <f aca="false">E46*Assumptions!$B$18</f>
        <v>131.551056964806</v>
      </c>
      <c r="G26" s="15" t="n">
        <f aca="false">F46*Assumptions!$B$18</f>
        <v>82.3485830307112</v>
      </c>
    </row>
    <row r="27" customFormat="false" ht="15" hidden="false" customHeight="false" outlineLevel="0" collapsed="false">
      <c r="A27" s="0" t="s">
        <v>85</v>
      </c>
      <c r="B27" s="15"/>
      <c r="C27" s="15" t="n">
        <f aca="false">B50*Assumptions!$B$19</f>
        <v>195.72394</v>
      </c>
      <c r="D27" s="15" t="n">
        <f aca="false">C50*Assumptions!$B$19</f>
        <v>195.72394</v>
      </c>
      <c r="E27" s="15" t="n">
        <f aca="false">D50*Assumptions!$B$19</f>
        <v>195.72394</v>
      </c>
      <c r="F27" s="15" t="n">
        <f aca="false">E50*Assumptions!$B$19</f>
        <v>195.72394</v>
      </c>
      <c r="G27" s="15" t="n">
        <f aca="false">F50*Assumptions!$B$19</f>
        <v>195.72394</v>
      </c>
    </row>
    <row r="28" customFormat="false" ht="15" hidden="false" customHeight="false" outlineLevel="0" collapsed="false">
      <c r="A28" s="0" t="s">
        <v>86</v>
      </c>
      <c r="B28" s="15"/>
      <c r="C28" s="15" t="n">
        <f aca="false">$E$7/Assumptions!$B$24</f>
        <v>18.3951071428571</v>
      </c>
      <c r="D28" s="15" t="n">
        <f aca="false">$E$7/Assumptions!$B$24</f>
        <v>18.3951071428571</v>
      </c>
      <c r="E28" s="15" t="n">
        <f aca="false">$E$7/Assumptions!$B$24</f>
        <v>18.3951071428571</v>
      </c>
      <c r="F28" s="15" t="n">
        <f aca="false">$E$7/Assumptions!$B$24</f>
        <v>18.3951071428571</v>
      </c>
      <c r="G28" s="15" t="n">
        <f aca="false">$E$7/Assumptions!$B$24</f>
        <v>18.3951071428571</v>
      </c>
    </row>
    <row r="29" customFormat="false" ht="15" hidden="false" customHeight="false" outlineLevel="0" collapsed="false">
      <c r="A29" s="0" t="s">
        <v>87</v>
      </c>
      <c r="B29" s="15"/>
      <c r="C29" s="15" t="n">
        <f aca="false">C25-C26-C27-C28</f>
        <v>486.925680057143</v>
      </c>
      <c r="D29" s="15" t="n">
        <f aca="false">D25-D26-D27-D28</f>
        <v>563.262920652046</v>
      </c>
      <c r="E29" s="15" t="n">
        <f aca="false">E25-E26-E27-E28</f>
        <v>646.278190255539</v>
      </c>
      <c r="F29" s="15" t="n">
        <f aca="false">F25-F26-F27-F28</f>
        <v>736.469165646463</v>
      </c>
      <c r="G29" s="15" t="n">
        <f aca="false">G25-G26-G27-G28</f>
        <v>834.367906719493</v>
      </c>
    </row>
    <row r="30" customFormat="false" ht="15" hidden="false" customHeight="false" outlineLevel="0" collapsed="false">
      <c r="A30" s="0" t="s">
        <v>88</v>
      </c>
      <c r="B30" s="15"/>
      <c r="C30" s="15" t="n">
        <f aca="false">MAX(0,C29*Assumptions!$B$25)</f>
        <v>116.862163213714</v>
      </c>
      <c r="D30" s="15" t="n">
        <f aca="false">MAX(0,D29*Assumptions!$B$25)</f>
        <v>135.183100956491</v>
      </c>
      <c r="E30" s="15" t="n">
        <f aca="false">MAX(0,E29*Assumptions!$B$25)</f>
        <v>155.106765661329</v>
      </c>
      <c r="F30" s="15" t="n">
        <f aca="false">MAX(0,F29*Assumptions!$B$25)</f>
        <v>176.752599755151</v>
      </c>
      <c r="G30" s="15" t="n">
        <f aca="false">MAX(0,G29*Assumptions!$B$25)</f>
        <v>200.248297612678</v>
      </c>
    </row>
    <row r="31" customFormat="false" ht="15" hidden="false" customHeight="false" outlineLevel="0" collapsed="false">
      <c r="A31" s="0" t="s">
        <v>89</v>
      </c>
      <c r="B31" s="15"/>
      <c r="C31" s="15" t="n">
        <f aca="false">C29-C30</f>
        <v>370.063516843429</v>
      </c>
      <c r="D31" s="15" t="n">
        <f aca="false">D29-D30</f>
        <v>428.079819695555</v>
      </c>
      <c r="E31" s="15" t="n">
        <f aca="false">E29-E30</f>
        <v>491.171424594209</v>
      </c>
      <c r="F31" s="15" t="n">
        <f aca="false">F29-F30</f>
        <v>559.716565891312</v>
      </c>
      <c r="G31" s="15" t="n">
        <f aca="false">G29-G30</f>
        <v>634.119609106815</v>
      </c>
    </row>
    <row r="33" customFormat="false" ht="15" hidden="false" customHeight="false" outlineLevel="0" collapsed="false">
      <c r="A33" s="19" t="s">
        <v>90</v>
      </c>
      <c r="B33" s="20"/>
      <c r="C33" s="20" t="s">
        <v>46</v>
      </c>
      <c r="D33" s="20" t="s">
        <v>47</v>
      </c>
      <c r="E33" s="20" t="s">
        <v>48</v>
      </c>
      <c r="F33" s="20" t="s">
        <v>49</v>
      </c>
      <c r="G33" s="20" t="s">
        <v>50</v>
      </c>
    </row>
    <row r="34" customFormat="false" ht="15" hidden="false" customHeight="false" outlineLevel="0" collapsed="false">
      <c r="A34" s="0" t="s">
        <v>80</v>
      </c>
      <c r="B34" s="24"/>
      <c r="C34" s="24" t="n">
        <f aca="false">C22</f>
        <v>1076.08594104</v>
      </c>
      <c r="D34" s="24" t="n">
        <f aca="false">D22</f>
        <v>1124.5098083868</v>
      </c>
      <c r="E34" s="24" t="n">
        <f aca="false">E22</f>
        <v>1175.11274976421</v>
      </c>
      <c r="F34" s="24" t="n">
        <f aca="false">F22</f>
        <v>1227.99282350359</v>
      </c>
      <c r="G34" s="24" t="n">
        <f aca="false">G22</f>
        <v>1283.25250056126</v>
      </c>
    </row>
    <row r="35" customFormat="false" ht="15" hidden="false" customHeight="false" outlineLevel="0" collapsed="false">
      <c r="A35" s="0" t="s">
        <v>91</v>
      </c>
      <c r="B35" s="24"/>
      <c r="C35" s="24" t="n">
        <f aca="false">-(C26+C27)</f>
        <v>-442.95418</v>
      </c>
      <c r="D35" s="24" t="n">
        <f aca="false">-(D26+D27)</f>
        <v>-409.289312929097</v>
      </c>
      <c r="E35" s="24" t="n">
        <f aca="false">-(E26+E27)</f>
        <v>-370.866673658184</v>
      </c>
      <c r="F35" s="24" t="n">
        <f aca="false">-(F26+F27)</f>
        <v>-327.274996964806</v>
      </c>
      <c r="G35" s="24" t="n">
        <f aca="false">-(G26+G27)</f>
        <v>-278.072523030711</v>
      </c>
    </row>
    <row r="36" customFormat="false" ht="15" hidden="false" customHeight="false" outlineLevel="0" collapsed="false">
      <c r="A36" s="0" t="s">
        <v>92</v>
      </c>
      <c r="B36" s="24"/>
      <c r="C36" s="24" t="n">
        <f aca="false">-C30</f>
        <v>-116.862163213714</v>
      </c>
      <c r="D36" s="24" t="n">
        <f aca="false">-D30</f>
        <v>-135.183100956491</v>
      </c>
      <c r="E36" s="24" t="n">
        <f aca="false">-E30</f>
        <v>-155.106765661329</v>
      </c>
      <c r="F36" s="24" t="n">
        <f aca="false">-F30</f>
        <v>-176.752599755151</v>
      </c>
      <c r="G36" s="24" t="n">
        <f aca="false">-G30</f>
        <v>-200.248297612678</v>
      </c>
    </row>
    <row r="37" customFormat="false" ht="15" hidden="false" customHeight="false" outlineLevel="0" collapsed="false">
      <c r="A37" s="0" t="s">
        <v>93</v>
      </c>
      <c r="B37" s="24"/>
      <c r="C37" s="24" t="n">
        <f aca="false">-C20*Assumptions!$B$29</f>
        <v>-86.58162744</v>
      </c>
      <c r="D37" s="24" t="n">
        <f aca="false">-D20*Assumptions!$B$29</f>
        <v>-90.4778006748</v>
      </c>
      <c r="E37" s="24" t="n">
        <f aca="false">-E20*Assumptions!$B$29</f>
        <v>-94.549301705166</v>
      </c>
      <c r="F37" s="24" t="n">
        <f aca="false">-F20*Assumptions!$B$29</f>
        <v>-98.8040202818984</v>
      </c>
      <c r="G37" s="24" t="n">
        <f aca="false">-G20*Assumptions!$B$29</f>
        <v>-103.250201194584</v>
      </c>
    </row>
    <row r="38" customFormat="false" ht="15" hidden="false" customHeight="false" outlineLevel="0" collapsed="false">
      <c r="A38" s="0" t="s">
        <v>94</v>
      </c>
      <c r="B38" s="24"/>
      <c r="C38" s="24" t="n">
        <f aca="false">-(C20-B20)*Assumptions!$B$30</f>
        <v>-8.87713199999998</v>
      </c>
      <c r="D38" s="24" t="n">
        <f aca="false">-(D20-C20)*Assumptions!$B$30</f>
        <v>-9.27660293999998</v>
      </c>
      <c r="E38" s="24" t="n">
        <f aca="false">-(E20-D20)*Assumptions!$B$30</f>
        <v>-9.69405007229998</v>
      </c>
      <c r="F38" s="24" t="n">
        <f aca="false">-(F20-E20)*Assumptions!$B$30</f>
        <v>-10.1302823255535</v>
      </c>
      <c r="G38" s="24" t="n">
        <f aca="false">-(G20-F20)*Assumptions!$B$30</f>
        <v>-10.5861450302034</v>
      </c>
    </row>
    <row r="39" customFormat="false" ht="15" hidden="false" customHeight="false" outlineLevel="0" collapsed="false">
      <c r="A39" s="0" t="s">
        <v>95</v>
      </c>
      <c r="B39" s="24"/>
      <c r="C39" s="24" t="n">
        <f aca="false">SUM(C34:C38)</f>
        <v>420.810838386286</v>
      </c>
      <c r="D39" s="24" t="n">
        <f aca="false">SUM(D34:D38)</f>
        <v>480.282990886412</v>
      </c>
      <c r="E39" s="24" t="n">
        <f aca="false">SUM(E34:E38)</f>
        <v>544.895958667226</v>
      </c>
      <c r="F39" s="24" t="n">
        <f aca="false">SUM(F34:F38)</f>
        <v>615.030924176186</v>
      </c>
      <c r="G39" s="24" t="n">
        <f aca="false">SUM(G34:G38)</f>
        <v>691.09533369308</v>
      </c>
    </row>
    <row r="40" customFormat="false" ht="15" hidden="false" customHeight="false" outlineLevel="0" collapsed="false">
      <c r="A40" s="0" t="s">
        <v>96</v>
      </c>
      <c r="B40" s="24"/>
      <c r="C40" s="24" t="n">
        <f aca="false">MIN(Assumptions!$B$20*$B$4,B46)</f>
        <v>30.90378</v>
      </c>
      <c r="D40" s="24" t="n">
        <f aca="false">MIN(Assumptions!$B$20*$B$4,C46)</f>
        <v>30.90378</v>
      </c>
      <c r="E40" s="24" t="n">
        <f aca="false">MIN(Assumptions!$B$20*$B$4,D46)</f>
        <v>30.90378</v>
      </c>
      <c r="F40" s="24" t="n">
        <f aca="false">MIN(Assumptions!$B$20*$B$4,E46)</f>
        <v>30.90378</v>
      </c>
      <c r="G40" s="24" t="n">
        <f aca="false">MIN(Assumptions!$B$20*$B$4,F46)</f>
        <v>30.90378</v>
      </c>
    </row>
    <row r="41" customFormat="false" ht="15" hidden="false" customHeight="false" outlineLevel="0" collapsed="false">
      <c r="A41" s="0" t="s">
        <v>97</v>
      </c>
      <c r="B41" s="24"/>
      <c r="C41" s="24" t="n">
        <f aca="false">MIN(B46-C40,MAX(0,C39-C40)*Assumptions!$B$21)</f>
        <v>389.907058386286</v>
      </c>
      <c r="D41" s="24" t="n">
        <f aca="false">MIN(C46-D40,MAX(0,D39-D40)*Assumptions!$B$21)</f>
        <v>449.379210886412</v>
      </c>
      <c r="E41" s="24" t="n">
        <f aca="false">MIN(D46-E40,MAX(0,E39-E40)*Assumptions!$B$21)</f>
        <v>513.992178667226</v>
      </c>
      <c r="F41" s="24" t="n">
        <f aca="false">MIN(E46-F40,MAX(0,F39-F40)*Assumptions!$B$21)</f>
        <v>584.127144176186</v>
      </c>
      <c r="G41" s="24" t="n">
        <f aca="false">MIN(F46-G40,MAX(0,G39-G40)*Assumptions!$B$21)</f>
        <v>660.19155369308</v>
      </c>
    </row>
    <row r="42" customFormat="false" ht="15" hidden="false" customHeight="false" outlineLevel="0" collapsed="false">
      <c r="A42" s="0" t="s">
        <v>98</v>
      </c>
      <c r="B42" s="24"/>
      <c r="C42" s="24" t="n">
        <f aca="false">C39-C40-C41</f>
        <v>0</v>
      </c>
      <c r="D42" s="24" t="n">
        <f aca="false">D39-D40-D41</f>
        <v>0</v>
      </c>
      <c r="E42" s="24" t="n">
        <f aca="false">E39-E40-E41</f>
        <v>0</v>
      </c>
      <c r="F42" s="24" t="n">
        <f aca="false">F39-F40-F41</f>
        <v>0</v>
      </c>
      <c r="G42" s="24" t="n">
        <f aca="false">G39-G40-G41</f>
        <v>0</v>
      </c>
    </row>
    <row r="44" customFormat="false" ht="15" hidden="false" customHeight="false" outlineLevel="0" collapsed="false">
      <c r="A44" s="19" t="s">
        <v>99</v>
      </c>
      <c r="B44" s="20" t="s">
        <v>100</v>
      </c>
      <c r="C44" s="20" t="s">
        <v>46</v>
      </c>
      <c r="D44" s="20" t="s">
        <v>47</v>
      </c>
      <c r="E44" s="20" t="s">
        <v>48</v>
      </c>
      <c r="F44" s="20" t="s">
        <v>49</v>
      </c>
      <c r="G44" s="20" t="s">
        <v>50</v>
      </c>
    </row>
    <row r="45" customFormat="false" ht="15" hidden="false" customHeight="false" outlineLevel="0" collapsed="false">
      <c r="A45" s="7" t="s">
        <v>59</v>
      </c>
    </row>
    <row r="46" customFormat="false" ht="15" hidden="false" customHeight="false" outlineLevel="0" collapsed="false">
      <c r="A46" s="0" t="s">
        <v>101</v>
      </c>
      <c r="B46" s="24" t="n">
        <f aca="false">B4</f>
        <v>3090.378</v>
      </c>
      <c r="C46" s="24" t="n">
        <f aca="false">B46-C40-C41</f>
        <v>2669.56716161371</v>
      </c>
      <c r="D46" s="24" t="n">
        <f aca="false">C46-D40-D41</f>
        <v>2189.2841707273</v>
      </c>
      <c r="E46" s="24" t="n">
        <f aca="false">D46-E40-E41</f>
        <v>1644.38821206008</v>
      </c>
      <c r="F46" s="24" t="n">
        <f aca="false">E46-F40-F41</f>
        <v>1029.35728788389</v>
      </c>
      <c r="G46" s="24" t="n">
        <f aca="false">F46-G40-G41</f>
        <v>338.26195419081</v>
      </c>
    </row>
    <row r="47" customFormat="false" ht="15" hidden="false" customHeight="false" outlineLevel="0" collapsed="false">
      <c r="B47" s="24"/>
      <c r="C47" s="24"/>
      <c r="D47" s="24"/>
      <c r="E47" s="24"/>
      <c r="F47" s="24"/>
      <c r="G47" s="24"/>
    </row>
    <row r="48" customFormat="false" ht="15" hidden="false" customHeight="false" outlineLevel="0" collapsed="false">
      <c r="B48" s="24"/>
      <c r="C48" s="24"/>
      <c r="D48" s="24"/>
      <c r="E48" s="24"/>
      <c r="F48" s="24"/>
      <c r="G48" s="24"/>
    </row>
    <row r="49" customFormat="false" ht="15" hidden="false" customHeight="false" outlineLevel="0" collapsed="false">
      <c r="A49" s="7" t="s">
        <v>61</v>
      </c>
      <c r="B49" s="24"/>
      <c r="C49" s="24"/>
      <c r="D49" s="24"/>
      <c r="E49" s="24"/>
      <c r="F49" s="24"/>
      <c r="G49" s="24"/>
    </row>
    <row r="50" customFormat="false" ht="15" hidden="false" customHeight="false" outlineLevel="0" collapsed="false">
      <c r="A50" s="0" t="s">
        <v>102</v>
      </c>
      <c r="B50" s="24" t="n">
        <f aca="false">B5</f>
        <v>2060.252</v>
      </c>
      <c r="C50" s="24" t="n">
        <f aca="false">B50</f>
        <v>2060.252</v>
      </c>
      <c r="D50" s="24" t="n">
        <f aca="false">C50</f>
        <v>2060.252</v>
      </c>
      <c r="E50" s="24" t="n">
        <f aca="false">D50</f>
        <v>2060.252</v>
      </c>
      <c r="F50" s="24" t="n">
        <f aca="false">E50</f>
        <v>2060.252</v>
      </c>
      <c r="G50" s="24" t="n">
        <f aca="false">F50</f>
        <v>2060.252</v>
      </c>
    </row>
    <row r="51" customFormat="false" ht="15" hidden="false" customHeight="false" outlineLevel="0" collapsed="false">
      <c r="A51" s="0" t="s">
        <v>103</v>
      </c>
      <c r="B51" s="24" t="n">
        <f aca="false">B46+B50</f>
        <v>5150.63</v>
      </c>
      <c r="C51" s="24" t="n">
        <f aca="false">C46+C50</f>
        <v>4729.81916161371</v>
      </c>
      <c r="D51" s="24" t="n">
        <f aca="false">D46+D50</f>
        <v>4249.5361707273</v>
      </c>
      <c r="E51" s="24" t="n">
        <f aca="false">E46+E50</f>
        <v>3704.64021206008</v>
      </c>
      <c r="F51" s="24" t="n">
        <f aca="false">F46+F50</f>
        <v>3089.60928788389</v>
      </c>
      <c r="G51" s="24" t="n">
        <f aca="false">G46+G50</f>
        <v>2398.51395419081</v>
      </c>
    </row>
    <row r="52" customFormat="false" ht="15" hidden="false" customHeight="false" outlineLevel="0" collapsed="false">
      <c r="A52" s="0" t="s">
        <v>104</v>
      </c>
      <c r="B52" s="24" t="n">
        <f aca="false">Assumptions!B12</f>
        <v>300</v>
      </c>
      <c r="C52" s="24" t="n">
        <f aca="false">B52+C42</f>
        <v>300</v>
      </c>
      <c r="D52" s="24" t="n">
        <f aca="false">C52+D42</f>
        <v>300</v>
      </c>
      <c r="E52" s="24" t="n">
        <f aca="false">D52+E42</f>
        <v>300</v>
      </c>
      <c r="F52" s="24" t="n">
        <f aca="false">E52+F42</f>
        <v>300</v>
      </c>
      <c r="G52" s="24" t="n">
        <f aca="false">F52+G42</f>
        <v>300</v>
      </c>
    </row>
    <row r="53" customFormat="false" ht="15" hidden="false" customHeight="false" outlineLevel="0" collapsed="false">
      <c r="A53" s="0" t="s">
        <v>105</v>
      </c>
      <c r="B53" s="24" t="n">
        <f aca="false">B51-B52</f>
        <v>4850.63</v>
      </c>
      <c r="C53" s="24" t="n">
        <f aca="false">C51-C52</f>
        <v>4429.81916161371</v>
      </c>
      <c r="D53" s="24" t="n">
        <f aca="false">D51-D52</f>
        <v>3949.5361707273</v>
      </c>
      <c r="E53" s="24" t="n">
        <f aca="false">E51-E52</f>
        <v>3404.64021206008</v>
      </c>
      <c r="F53" s="24" t="n">
        <f aca="false">F51-F52</f>
        <v>2789.60928788389</v>
      </c>
      <c r="G53" s="24" t="n">
        <f aca="false">G51-G52</f>
        <v>2098.51395419081</v>
      </c>
    </row>
    <row r="54" customFormat="false" ht="15" hidden="false" customHeight="false" outlineLevel="0" collapsed="false">
      <c r="A54" s="0" t="s">
        <v>106</v>
      </c>
      <c r="B54" s="16" t="n">
        <f aca="false">B51/B22</f>
        <v>5</v>
      </c>
      <c r="C54" s="16" t="n">
        <f aca="false">C51/C22</f>
        <v>4.39539165156503</v>
      </c>
      <c r="D54" s="16" t="n">
        <f aca="false">D51/D22</f>
        <v>3.77901209845702</v>
      </c>
      <c r="E54" s="16" t="n">
        <f aca="false">E51/E22</f>
        <v>3.15258277369847</v>
      </c>
      <c r="F54" s="16" t="n">
        <f aca="false">F51/F22</f>
        <v>2.51598317901313</v>
      </c>
      <c r="G54" s="16" t="n">
        <f aca="false">G51/G22</f>
        <v>1.86908963991247</v>
      </c>
    </row>
    <row r="55" customFormat="false" ht="15" hidden="false" customHeight="false" outlineLevel="0" collapsed="false">
      <c r="A55" s="0" t="s">
        <v>107</v>
      </c>
      <c r="B55" s="16"/>
      <c r="C55" s="16" t="n">
        <f aca="false">C22/(C26+C27)</f>
        <v>2.42933917237219</v>
      </c>
      <c r="D55" s="16" t="n">
        <f aca="false">D22/(D26+D27)</f>
        <v>2.7474692665176</v>
      </c>
      <c r="E55" s="16" t="n">
        <f aca="false">E22/(E26+E27)</f>
        <v>3.16855849616531</v>
      </c>
      <c r="F55" s="16" t="n">
        <f aca="false">F22/(F26+F27)</f>
        <v>3.75217427207141</v>
      </c>
      <c r="G55" s="16" t="n">
        <f aca="false">G22/(G26+G27)</f>
        <v>4.61481230354978</v>
      </c>
    </row>
    <row r="57" customFormat="false" ht="15" hidden="false" customHeight="false" outlineLevel="0" collapsed="false">
      <c r="A57" s="19" t="s">
        <v>108</v>
      </c>
      <c r="B57" s="20" t="s">
        <v>109</v>
      </c>
    </row>
    <row r="58" customFormat="false" ht="15" hidden="false" customHeight="false" outlineLevel="0" collapsed="false">
      <c r="A58" s="0" t="s">
        <v>110</v>
      </c>
      <c r="B58" s="15" t="n">
        <f aca="false">G22</f>
        <v>1283.25250056126</v>
      </c>
    </row>
    <row r="59" customFormat="false" ht="15" hidden="false" customHeight="false" outlineLevel="0" collapsed="false">
      <c r="A59" s="0" t="s">
        <v>9</v>
      </c>
      <c r="B59" s="16" t="n">
        <f aca="false">Assumptions!B33</f>
        <v>8</v>
      </c>
    </row>
    <row r="60" customFormat="false" ht="15" hidden="false" customHeight="false" outlineLevel="0" collapsed="false">
      <c r="A60" s="0" t="s">
        <v>111</v>
      </c>
      <c r="B60" s="15" t="n">
        <f aca="false">B58*B59</f>
        <v>10266.0200044901</v>
      </c>
    </row>
    <row r="61" customFormat="false" ht="15" hidden="false" customHeight="false" outlineLevel="0" collapsed="false">
      <c r="A61" s="0" t="s">
        <v>112</v>
      </c>
      <c r="B61" s="15" t="n">
        <f aca="false">-G51</f>
        <v>-2398.51395419081</v>
      </c>
    </row>
    <row r="62" customFormat="false" ht="15" hidden="false" customHeight="false" outlineLevel="0" collapsed="false">
      <c r="A62" s="0" t="s">
        <v>113</v>
      </c>
      <c r="B62" s="15" t="n">
        <f aca="false">G52</f>
        <v>300</v>
      </c>
    </row>
    <row r="63" customFormat="false" ht="15" hidden="false" customHeight="false" outlineLevel="0" collapsed="false">
      <c r="A63" s="0" t="s">
        <v>114</v>
      </c>
      <c r="B63" s="15" t="n">
        <f aca="false">SUM(B60:B62)</f>
        <v>8167.50605029924</v>
      </c>
    </row>
    <row r="64" customFormat="false" ht="15" hidden="false" customHeight="false" outlineLevel="0" collapsed="false">
      <c r="A64" s="0" t="s">
        <v>115</v>
      </c>
      <c r="B64" s="15" t="n">
        <f aca="false">B7</f>
        <v>3642.75887</v>
      </c>
    </row>
    <row r="65" customFormat="false" ht="15" hidden="false" customHeight="false" outlineLevel="0" collapsed="false">
      <c r="A65" s="7" t="s">
        <v>10</v>
      </c>
      <c r="B65" s="6" t="n">
        <f aca="false">B63/B64</f>
        <v>2.24212096978553</v>
      </c>
    </row>
    <row r="66" customFormat="false" ht="15" hidden="false" customHeight="false" outlineLevel="0" collapsed="false">
      <c r="A66" s="7" t="s">
        <v>116</v>
      </c>
      <c r="B66" s="4" t="n">
        <f aca="false">B65^(1/5)-1</f>
        <v>0.175254189721358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7" t="s">
        <v>117</v>
      </c>
    </row>
    <row r="3" customFormat="false" ht="15" hidden="false" customHeight="false" outlineLevel="0" collapsed="false">
      <c r="A3" s="7" t="s">
        <v>118</v>
      </c>
    </row>
    <row r="4" customFormat="false" ht="15" hidden="false" customHeight="false" outlineLevel="0" collapsed="false">
      <c r="A4" s="19" t="s">
        <v>119</v>
      </c>
      <c r="B4" s="20" t="s">
        <v>120</v>
      </c>
      <c r="C4" s="20" t="s">
        <v>121</v>
      </c>
      <c r="D4" s="20" t="s">
        <v>122</v>
      </c>
      <c r="E4" s="20" t="s">
        <v>123</v>
      </c>
      <c r="F4" s="20" t="s">
        <v>124</v>
      </c>
    </row>
    <row r="5" customFormat="false" ht="15" hidden="false" customHeight="false" outlineLevel="0" collapsed="false">
      <c r="A5" s="7" t="s">
        <v>120</v>
      </c>
      <c r="B5" s="23" t="n">
        <v>0.215264827682733</v>
      </c>
      <c r="C5" s="23" t="n">
        <v>0.237117677780387</v>
      </c>
      <c r="D5" s="23" t="n">
        <v>0.257527381595354</v>
      </c>
      <c r="E5" s="23" t="n">
        <v>0.27669213739999</v>
      </c>
      <c r="F5" s="23" t="n">
        <v>0.294770783041425</v>
      </c>
    </row>
    <row r="6" customFormat="false" ht="15" hidden="false" customHeight="false" outlineLevel="0" collapsed="false">
      <c r="A6" s="7" t="s">
        <v>121</v>
      </c>
      <c r="B6" s="23" t="n">
        <v>0.171497294362109</v>
      </c>
      <c r="C6" s="23" t="n">
        <v>0.19256311818943</v>
      </c>
      <c r="D6" s="23" t="n">
        <v>0.21223777037496</v>
      </c>
      <c r="E6" s="23" t="n">
        <v>0.230712311117698</v>
      </c>
      <c r="F6" s="23" t="n">
        <v>0.248139857749699</v>
      </c>
    </row>
    <row r="7" customFormat="false" ht="15" hidden="false" customHeight="false" outlineLevel="0" collapsed="false">
      <c r="A7" s="7" t="s">
        <v>122</v>
      </c>
      <c r="B7" s="23" t="n">
        <v>0.135756645348908</v>
      </c>
      <c r="C7" s="23" t="n">
        <v>0.156179782061875</v>
      </c>
      <c r="D7" s="25" t="n">
        <v>0.175254189721358</v>
      </c>
      <c r="E7" s="23" t="n">
        <v>0.193165099562391</v>
      </c>
      <c r="F7" s="23" t="n">
        <v>0.210060957533793</v>
      </c>
    </row>
    <row r="8" customFormat="false" ht="15" hidden="false" customHeight="false" outlineLevel="0" collapsed="false">
      <c r="A8" s="7" t="s">
        <v>123</v>
      </c>
      <c r="B8" s="23" t="n">
        <v>0.105699075945821</v>
      </c>
      <c r="C8" s="23" t="n">
        <v>0.125581718485417</v>
      </c>
      <c r="D8" s="23" t="n">
        <v>0.144151325812544</v>
      </c>
      <c r="E8" s="23" t="n">
        <v>0.161588227055147</v>
      </c>
      <c r="F8" s="23" t="n">
        <v>0.178036939570099</v>
      </c>
    </row>
    <row r="9" customFormat="false" ht="15" hidden="false" customHeight="false" outlineLevel="0" collapsed="false">
      <c r="A9" s="7" t="s">
        <v>124</v>
      </c>
      <c r="B9" s="23" t="n">
        <v>0.0798603908514706</v>
      </c>
      <c r="C9" s="23" t="n">
        <v>0.0992784030494116</v>
      </c>
      <c r="D9" s="23" t="n">
        <v>0.117414063883782</v>
      </c>
      <c r="E9" s="23" t="n">
        <v>0.134443488435818</v>
      </c>
      <c r="F9" s="23" t="n">
        <v>0.15050781688812</v>
      </c>
    </row>
    <row r="11" customFormat="false" ht="15" hidden="false" customHeight="false" outlineLevel="0" collapsed="false">
      <c r="A11" s="7" t="s">
        <v>125</v>
      </c>
    </row>
    <row r="12" customFormat="false" ht="15" hidden="false" customHeight="false" outlineLevel="0" collapsed="false">
      <c r="A12" s="19" t="s">
        <v>119</v>
      </c>
      <c r="B12" s="20" t="s">
        <v>120</v>
      </c>
      <c r="C12" s="20" t="s">
        <v>121</v>
      </c>
      <c r="D12" s="20" t="s">
        <v>122</v>
      </c>
      <c r="E12" s="20" t="s">
        <v>123</v>
      </c>
      <c r="F12" s="20" t="s">
        <v>124</v>
      </c>
    </row>
    <row r="13" customFormat="false" ht="15" hidden="false" customHeight="false" outlineLevel="0" collapsed="false">
      <c r="A13" s="7" t="s">
        <v>120</v>
      </c>
      <c r="B13" s="26" t="n">
        <v>2.65066377843949</v>
      </c>
      <c r="C13" s="26" t="n">
        <v>2.89771096353039</v>
      </c>
      <c r="D13" s="26" t="n">
        <v>3.14475814862129</v>
      </c>
      <c r="E13" s="26" t="n">
        <v>3.3918053337122</v>
      </c>
      <c r="F13" s="26" t="n">
        <v>3.6388525188031</v>
      </c>
    </row>
    <row r="14" customFormat="false" ht="15" hidden="false" customHeight="false" outlineLevel="0" collapsed="false">
      <c r="A14" s="7" t="s">
        <v>121</v>
      </c>
      <c r="B14" s="26" t="n">
        <v>2.20651279186224</v>
      </c>
      <c r="C14" s="26" t="n">
        <v>2.41216421341581</v>
      </c>
      <c r="D14" s="26" t="n">
        <v>2.61781563496938</v>
      </c>
      <c r="E14" s="26" t="n">
        <v>2.82346705652295</v>
      </c>
      <c r="F14" s="26" t="n">
        <v>3.02911847807651</v>
      </c>
    </row>
    <row r="15" customFormat="false" ht="15" hidden="false" customHeight="false" outlineLevel="0" collapsed="false">
      <c r="A15" s="7" t="s">
        <v>122</v>
      </c>
      <c r="B15" s="26" t="n">
        <v>1.88984607420309</v>
      </c>
      <c r="C15" s="26" t="n">
        <v>2.06598352199431</v>
      </c>
      <c r="D15" s="27" t="n">
        <v>2.24212096978553</v>
      </c>
      <c r="E15" s="26" t="n">
        <v>2.41825841757675</v>
      </c>
      <c r="F15" s="26" t="n">
        <v>2.59439586536797</v>
      </c>
    </row>
    <row r="16" customFormat="false" ht="15" hidden="false" customHeight="false" outlineLevel="0" collapsed="false">
      <c r="A16" s="7" t="s">
        <v>123</v>
      </c>
      <c r="B16" s="26" t="n">
        <v>1.65266463271602</v>
      </c>
      <c r="C16" s="26" t="n">
        <v>1.80669629404281</v>
      </c>
      <c r="D16" s="26" t="n">
        <v>1.9607279553696</v>
      </c>
      <c r="E16" s="26" t="n">
        <v>2.11475961669639</v>
      </c>
      <c r="F16" s="26" t="n">
        <v>2.26879127802318</v>
      </c>
    </row>
    <row r="17" customFormat="false" ht="15" hidden="false" customHeight="false" outlineLevel="0" collapsed="false">
      <c r="A17" s="7" t="s">
        <v>124</v>
      </c>
      <c r="B17" s="26" t="n">
        <v>1.46837863876869</v>
      </c>
      <c r="C17" s="26" t="n">
        <v>1.60523447552403</v>
      </c>
      <c r="D17" s="26" t="n">
        <v>1.74209031227937</v>
      </c>
      <c r="E17" s="26" t="n">
        <v>1.87894614903471</v>
      </c>
      <c r="F17" s="26" t="n">
        <v>2.01580198579005</v>
      </c>
    </row>
    <row r="19" customFormat="false" ht="15" hidden="false" customHeight="false" outlineLevel="0" collapsed="false">
      <c r="A19" s="7" t="s">
        <v>126</v>
      </c>
    </row>
    <row r="20" customFormat="false" ht="15" hidden="false" customHeight="false" outlineLevel="0" collapsed="false">
      <c r="A20" s="19" t="s">
        <v>127</v>
      </c>
      <c r="B20" s="20" t="s">
        <v>120</v>
      </c>
      <c r="C20" s="20" t="s">
        <v>121</v>
      </c>
      <c r="D20" s="20" t="s">
        <v>122</v>
      </c>
      <c r="E20" s="20" t="s">
        <v>123</v>
      </c>
      <c r="F20" s="20" t="s">
        <v>124</v>
      </c>
    </row>
    <row r="21" customFormat="false" ht="15" hidden="false" customHeight="false" outlineLevel="0" collapsed="false">
      <c r="A21" s="7" t="s">
        <v>128</v>
      </c>
      <c r="B21" s="23" t="n">
        <v>0.21694227330638</v>
      </c>
      <c r="C21" s="23" t="n">
        <v>0.184396210430883</v>
      </c>
      <c r="D21" s="23" t="n">
        <v>0.156460924805935</v>
      </c>
      <c r="E21" s="23" t="n">
        <v>0.132064531755402</v>
      </c>
      <c r="F21" s="23" t="n">
        <v>0.11046315555464</v>
      </c>
    </row>
    <row r="22" customFormat="false" ht="15" hidden="false" customHeight="false" outlineLevel="0" collapsed="false">
      <c r="A22" s="7" t="s">
        <v>129</v>
      </c>
      <c r="B22" s="23" t="n">
        <v>0.234599628685503</v>
      </c>
      <c r="C22" s="23" t="n">
        <v>0.19670557917027</v>
      </c>
      <c r="D22" s="23" t="n">
        <v>0.164868747568341</v>
      </c>
      <c r="E22" s="23" t="n">
        <v>0.13752128035665</v>
      </c>
      <c r="F22" s="23" t="n">
        <v>0.113623859675032</v>
      </c>
    </row>
    <row r="23" customFormat="false" ht="15" hidden="false" customHeight="false" outlineLevel="0" collapsed="false">
      <c r="A23" s="7" t="s">
        <v>130</v>
      </c>
      <c r="B23" s="23" t="n">
        <v>0.257527381595354</v>
      </c>
      <c r="C23" s="23" t="n">
        <v>0.21223777037496</v>
      </c>
      <c r="D23" s="25" t="n">
        <v>0.175254189721358</v>
      </c>
      <c r="E23" s="23" t="n">
        <v>0.144151325812544</v>
      </c>
      <c r="F23" s="23" t="n">
        <v>0.117414063883782</v>
      </c>
    </row>
    <row r="24" customFormat="false" ht="15" hidden="false" customHeight="false" outlineLevel="0" collapsed="false">
      <c r="A24" s="7" t="s">
        <v>131</v>
      </c>
      <c r="B24" s="23" t="n">
        <v>0.288653096738292</v>
      </c>
      <c r="C24" s="23" t="n">
        <v>0.232496958580852</v>
      </c>
      <c r="D24" s="23" t="n">
        <v>0.188422425304466</v>
      </c>
      <c r="E24" s="23" t="n">
        <v>0.152382484565129</v>
      </c>
      <c r="F24" s="23" t="n">
        <v>0.12204335288793</v>
      </c>
    </row>
    <row r="25" customFormat="false" ht="15" hidden="false" customHeight="false" outlineLevel="0" collapsed="false">
      <c r="A25" s="7" t="s">
        <v>132</v>
      </c>
      <c r="B25" s="23" t="n">
        <v>0.333744496706533</v>
      </c>
      <c r="C25" s="23" t="n">
        <v>0.26013983821422</v>
      </c>
      <c r="D25" s="23" t="n">
        <v>0.205695571555971</v>
      </c>
      <c r="E25" s="23" t="n">
        <v>0.162881941642029</v>
      </c>
      <c r="F25" s="23" t="n">
        <v>0.127826409170425</v>
      </c>
    </row>
    <row r="27" customFormat="false" ht="15" hidden="false" customHeight="false" outlineLevel="0" collapsed="false">
      <c r="A27" s="7" t="s">
        <v>133</v>
      </c>
    </row>
    <row r="28" customFormat="false" ht="15" hidden="false" customHeight="false" outlineLevel="0" collapsed="false">
      <c r="A28" s="19" t="s">
        <v>134</v>
      </c>
      <c r="B28" s="20" t="s">
        <v>135</v>
      </c>
      <c r="C28" s="20" t="s">
        <v>136</v>
      </c>
    </row>
    <row r="29" customFormat="false" ht="15" hidden="false" customHeight="false" outlineLevel="0" collapsed="false">
      <c r="A29" s="0" t="s">
        <v>137</v>
      </c>
      <c r="B29" s="15" t="n">
        <v>1283.25250056126</v>
      </c>
      <c r="C29" s="15" t="n">
        <v>995.00008684032</v>
      </c>
    </row>
    <row r="30" customFormat="false" ht="15" hidden="false" customHeight="false" outlineLevel="0" collapsed="false">
      <c r="A30" s="0" t="s">
        <v>9</v>
      </c>
      <c r="B30" s="16" t="n">
        <v>8</v>
      </c>
      <c r="C30" s="16" t="n">
        <v>6.5</v>
      </c>
    </row>
    <row r="31" customFormat="false" ht="15" hidden="false" customHeight="false" outlineLevel="0" collapsed="false">
      <c r="A31" s="0" t="s">
        <v>10</v>
      </c>
      <c r="B31" s="26" t="n">
        <v>2.24212096978553</v>
      </c>
      <c r="C31" s="26" t="n">
        <v>0.975770031457109</v>
      </c>
    </row>
    <row r="32" customFormat="false" ht="15" hidden="false" customHeight="false" outlineLevel="0" collapsed="false">
      <c r="A32" s="0" t="s">
        <v>11</v>
      </c>
      <c r="B32" s="23" t="n">
        <v>0.175254189721358</v>
      </c>
      <c r="C32" s="23" t="n">
        <v>-0.00489365562709798</v>
      </c>
    </row>
    <row r="33" customFormat="false" ht="15" hidden="false" customHeight="false" outlineLevel="0" collapsed="false">
      <c r="A33" s="0" t="s">
        <v>138</v>
      </c>
      <c r="B33" s="16" t="n">
        <v>1.86908963991247</v>
      </c>
      <c r="C33" s="16" t="n">
        <v>3.22915110238292</v>
      </c>
    </row>
    <row r="34" customFormat="false" ht="15" hidden="false" customHeight="false" outlineLevel="0" collapsed="false">
      <c r="A34" s="0" t="s">
        <v>139</v>
      </c>
      <c r="B34" s="16" t="n">
        <v>2.42933917237219</v>
      </c>
      <c r="C34" s="16" t="n">
        <v>2.20403665769674</v>
      </c>
    </row>
    <row r="36" customFormat="false" ht="15" hidden="false" customHeight="false" outlineLevel="0" collapsed="false">
      <c r="A36" s="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9" t="s">
        <v>141</v>
      </c>
      <c r="B1" s="20" t="s">
        <v>142</v>
      </c>
      <c r="C1" s="20" t="s">
        <v>143</v>
      </c>
      <c r="D1" s="20" t="s">
        <v>144</v>
      </c>
      <c r="E1" s="20" t="s">
        <v>145</v>
      </c>
    </row>
    <row r="2" customFormat="false" ht="15" hidden="false" customHeight="false" outlineLevel="0" collapsed="false">
      <c r="A2" s="0" t="s">
        <v>78</v>
      </c>
      <c r="B2" s="15" t="n">
        <v>3472.185</v>
      </c>
      <c r="C2" s="15" t="n">
        <v>3610.347</v>
      </c>
      <c r="D2" s="15" t="n">
        <v>3760.995</v>
      </c>
      <c r="E2" s="15" t="n">
        <v>3945.392</v>
      </c>
    </row>
    <row r="3" customFormat="false" ht="15" hidden="false" customHeight="false" outlineLevel="0" collapsed="false">
      <c r="A3" s="0" t="s">
        <v>146</v>
      </c>
      <c r="B3" s="15" t="n">
        <v>914.691</v>
      </c>
      <c r="C3" s="15" t="n">
        <v>963.186</v>
      </c>
      <c r="D3" s="15" t="n">
        <v>976.343</v>
      </c>
      <c r="E3" s="15" t="n">
        <v>1030.126</v>
      </c>
    </row>
    <row r="4" customFormat="false" ht="15" hidden="false" customHeight="false" outlineLevel="0" collapsed="false">
      <c r="A4" s="0" t="s">
        <v>147</v>
      </c>
      <c r="B4" s="23" t="n">
        <v>0.263</v>
      </c>
      <c r="C4" s="23" t="n">
        <v>0.267</v>
      </c>
      <c r="D4" s="23" t="n">
        <v>0.26</v>
      </c>
      <c r="E4" s="23" t="n">
        <v>0.261</v>
      </c>
    </row>
    <row r="5" customFormat="false" ht="15" hidden="false" customHeight="false" outlineLevel="0" collapsed="false">
      <c r="A5" s="0" t="s">
        <v>148</v>
      </c>
      <c r="B5" s="15" t="n">
        <v>748.698</v>
      </c>
      <c r="C5" s="15" t="n">
        <v>805.277</v>
      </c>
      <c r="D5" s="15" t="n">
        <v>827.97</v>
      </c>
      <c r="E5" s="15" t="n">
        <v>907.686</v>
      </c>
    </row>
    <row r="6" customFormat="false" ht="15" hidden="false" customHeight="false" outlineLevel="0" collapsed="false">
      <c r="A6" s="0" t="s">
        <v>149</v>
      </c>
      <c r="B6" s="15" t="n">
        <v>821.841</v>
      </c>
      <c r="C6" s="15" t="n">
        <v>720.86</v>
      </c>
      <c r="D6" s="15" t="n">
        <v>680.883</v>
      </c>
      <c r="E6" s="15" t="n">
        <v>838.695</v>
      </c>
    </row>
    <row r="7" customFormat="false" ht="15" hidden="false" customHeight="false" outlineLevel="0" collapsed="false">
      <c r="A7" s="0" t="s">
        <v>150</v>
      </c>
      <c r="B7" s="15" t="n">
        <v>69.698</v>
      </c>
      <c r="C7" s="15" t="n">
        <v>63.678</v>
      </c>
      <c r="D7" s="15" t="n">
        <v>82.034</v>
      </c>
      <c r="E7" s="15" t="n">
        <v>82.614</v>
      </c>
    </row>
    <row r="8" customFormat="false" ht="15" hidden="false" customHeight="false" outlineLevel="0" collapsed="false">
      <c r="A8" s="0" t="s">
        <v>89</v>
      </c>
      <c r="B8" s="15" t="n">
        <v>561.8</v>
      </c>
      <c r="C8" s="15" t="n">
        <v>597.963</v>
      </c>
      <c r="D8" s="15" t="n">
        <v>609.45</v>
      </c>
      <c r="E8" s="15" t="n">
        <v>736.318</v>
      </c>
    </row>
    <row r="11" customFormat="false" ht="15" hidden="false" customHeight="false" outlineLevel="0" collapsed="false">
      <c r="A11" s="0" t="s">
        <v>151</v>
      </c>
    </row>
    <row r="12" customFormat="false" ht="15" hidden="false" customHeight="false" outlineLevel="0" collapsed="false">
      <c r="A12" s="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2026-10-10T21:53:37Z</dcterms:created>
  <dc:creator>openpyxl</dc:creator>
  <dc:description/>
  <dc:language>en-US</dc:language>
  <cp:lastModifiedBy/>
  <dcterms:modified xsi:type="dcterms:W3CDTF">2026-10-10T21:53:37Z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